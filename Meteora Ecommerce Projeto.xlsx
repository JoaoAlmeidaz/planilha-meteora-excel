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cadcruzeirodosul-my.sharepoint.com/personal/jalmeida006_cs_cruzeirodosul_edu_br/Documents/"/>
    </mc:Choice>
  </mc:AlternateContent>
  <xr:revisionPtr revIDLastSave="418" documentId="8_{E8A960FE-FA52-4BAF-BC2B-BF056329BE39}" xr6:coauthVersionLast="47" xr6:coauthVersionMax="47" xr10:uidLastSave="{A3305DD5-77CE-44A0-B45A-435873413B30}"/>
  <bookViews>
    <workbookView xWindow="-120" yWindow="-120" windowWidth="29040" windowHeight="15720" firstSheet="1" activeTab="2" xr2:uid="{F6D97A53-F63B-4272-A181-44B26E0B790F}"/>
  </bookViews>
  <sheets>
    <sheet name="Meu Grafico" sheetId="4" state="hidden" r:id="rId1"/>
    <sheet name="Produtos" sheetId="1" r:id="rId2"/>
    <sheet name="Planilha2" sheetId="7" r:id="rId3"/>
    <sheet name="Tabela de Produtos" sheetId="2" state="hidden" r:id="rId4"/>
  </sheets>
  <definedNames>
    <definedName name="_xlnm._FilterDatabase" localSheetId="1" hidden="1">Produtos!$A$3:$H$23</definedName>
    <definedName name="_xlnm.Print_Area" localSheetId="1">Produtos!$A$1:$H$25</definedName>
    <definedName name="Int_Nome_Produto">Produtos!$A$4:$A$23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7" l="1" a="1"/>
  <c r="D4" i="7" s="1"/>
  <c r="F25" i="1"/>
  <c r="C4" i="7" s="1"/>
  <c r="B4" i="7"/>
  <c r="G22" i="1"/>
  <c r="G21" i="1"/>
  <c r="G4" i="1"/>
  <c r="G13" i="1"/>
  <c r="G12" i="1"/>
  <c r="G11" i="1"/>
  <c r="G17" i="1"/>
  <c r="G16" i="1"/>
  <c r="G15" i="1"/>
  <c r="G14" i="1"/>
  <c r="G20" i="1"/>
  <c r="G19" i="1"/>
  <c r="G18" i="1"/>
  <c r="G10" i="1"/>
  <c r="G9" i="1"/>
  <c r="G8" i="1"/>
  <c r="G5" i="1"/>
  <c r="G7" i="1"/>
  <c r="G6" i="1"/>
  <c r="G23" i="1"/>
  <c r="H24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E4" i="2" l="1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F24" i="2"/>
  <c r="E22" i="1"/>
  <c r="H22" i="1" s="1"/>
  <c r="E21" i="1"/>
  <c r="H21" i="1" s="1"/>
  <c r="E4" i="1"/>
  <c r="H4" i="1" s="1"/>
  <c r="E13" i="1"/>
  <c r="H13" i="1" s="1"/>
  <c r="E12" i="1"/>
  <c r="H12" i="1" s="1"/>
  <c r="E11" i="1"/>
  <c r="H11" i="1" s="1"/>
  <c r="E17" i="1"/>
  <c r="H17" i="1" s="1"/>
  <c r="E16" i="1"/>
  <c r="H16" i="1" s="1"/>
  <c r="E15" i="1"/>
  <c r="H15" i="1" s="1"/>
  <c r="E14" i="1"/>
  <c r="H14" i="1" s="1"/>
  <c r="E20" i="1"/>
  <c r="H20" i="1" s="1"/>
  <c r="E19" i="1"/>
  <c r="H19" i="1" s="1"/>
  <c r="E18" i="1"/>
  <c r="H18" i="1" s="1"/>
  <c r="E10" i="1"/>
  <c r="H10" i="1" s="1"/>
  <c r="E9" i="1"/>
  <c r="H9" i="1" s="1"/>
  <c r="E8" i="1"/>
  <c r="H8" i="1" s="1"/>
  <c r="E5" i="1"/>
  <c r="H5" i="1" s="1"/>
  <c r="E7" i="1"/>
  <c r="H7" i="1" s="1"/>
  <c r="E6" i="1"/>
  <c r="H6" i="1" s="1"/>
  <c r="E23" i="1"/>
  <c r="H23" i="1" s="1"/>
  <c r="D24" i="2"/>
  <c r="D25" i="1"/>
  <c r="H25" i="1" l="1"/>
  <c r="E25" i="1"/>
  <c r="G25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<sst xmlns="http://schemas.openxmlformats.org/spreadsheetml/2006/main" count="142" uniqueCount="33">
  <si>
    <t>Produtos</t>
  </si>
  <si>
    <t>Tamanho</t>
  </si>
  <si>
    <t>P</t>
  </si>
  <si>
    <t>M</t>
  </si>
  <si>
    <t>G</t>
  </si>
  <si>
    <t xml:space="preserve">Óculos </t>
  </si>
  <si>
    <t xml:space="preserve">Jaqueta </t>
  </si>
  <si>
    <t xml:space="preserve">Calça </t>
  </si>
  <si>
    <t xml:space="preserve">Vestido </t>
  </si>
  <si>
    <t>Bermuda</t>
  </si>
  <si>
    <t>Tênis</t>
  </si>
  <si>
    <t>Bolsa</t>
  </si>
  <si>
    <t>Boné</t>
  </si>
  <si>
    <t>Cinto</t>
  </si>
  <si>
    <t>Único</t>
  </si>
  <si>
    <t>Camiseta Lisa</t>
  </si>
  <si>
    <t>Categoria</t>
  </si>
  <si>
    <t>Preço Unitário</t>
  </si>
  <si>
    <t>Vestuário</t>
  </si>
  <si>
    <t>Acessórios</t>
  </si>
  <si>
    <t>Calçado</t>
  </si>
  <si>
    <t>Meteora</t>
  </si>
  <si>
    <t>Qtd</t>
  </si>
  <si>
    <t>Valor Total</t>
  </si>
  <si>
    <t>Totais</t>
  </si>
  <si>
    <t>Desconto</t>
  </si>
  <si>
    <t>Valor de Desconto</t>
  </si>
  <si>
    <t>Valor do Desconto</t>
  </si>
  <si>
    <t xml:space="preserve">	Preço c/ Desconto</t>
  </si>
  <si>
    <t>TOTAIS</t>
  </si>
  <si>
    <t>MEUS NUMEROS</t>
  </si>
  <si>
    <t>Contagem de Produtos</t>
  </si>
  <si>
    <t>Soma de quantidades em estoque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</si>
</sst>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_-[$R$-416]\ * #,##0.00_-;\-[$R$-416]\ * #,##0.00_-;_-[$R$-416]\ * &quot;-&quot;??_-;_-@_-"/>
  </numFmts>
  <fonts count="11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DAFF0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1"/>
        <bgColor theme="1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9" fontId="0" fillId="0" borderId="10" xfId="1" applyFont="1" applyBorder="1" applyAlignment="1">
      <alignment horizontal="center"/>
    </xf>
    <xf numFmtId="0" fontId="3" fillId="4" borderId="7" xfId="0" applyFont="1" applyFill="1" applyBorder="1" applyAlignment="1">
      <alignment horizontal="center"/>
    </xf>
    <xf numFmtId="9" fontId="0" fillId="0" borderId="8" xfId="0" applyNumberFormat="1" applyBorder="1" applyAlignment="1">
      <alignment horizontal="center"/>
    </xf>
    <xf numFmtId="0" fontId="0" fillId="2" borderId="0" xfId="0" applyFill="1"/>
    <xf numFmtId="164" fontId="5" fillId="0" borderId="0" xfId="0" applyNumberFormat="1" applyFont="1"/>
    <xf numFmtId="164" fontId="5" fillId="3" borderId="4" xfId="0" applyNumberFormat="1" applyFont="1" applyFill="1" applyBorder="1"/>
    <xf numFmtId="164" fontId="5" fillId="3" borderId="14" xfId="0" applyNumberFormat="1" applyFont="1" applyFill="1" applyBorder="1"/>
    <xf numFmtId="164" fontId="5" fillId="3" borderId="15" xfId="0" applyNumberFormat="1" applyFont="1" applyFill="1" applyBorder="1"/>
    <xf numFmtId="164" fontId="0" fillId="0" borderId="13" xfId="0" applyNumberFormat="1" applyBorder="1" applyAlignment="1">
      <alignment horizontal="center"/>
    </xf>
    <xf numFmtId="164" fontId="0" fillId="0" borderId="16" xfId="0" applyNumberFormat="1" applyBorder="1"/>
    <xf numFmtId="164" fontId="0" fillId="0" borderId="11" xfId="0" applyNumberFormat="1" applyBorder="1"/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164" fontId="0" fillId="0" borderId="7" xfId="0" applyNumberFormat="1" applyBorder="1" applyAlignment="1">
      <alignment horizontal="center"/>
    </xf>
    <xf numFmtId="164" fontId="0" fillId="0" borderId="20" xfId="0" applyNumberFormat="1" applyBorder="1" applyAlignment="1">
      <alignment horizontal="center"/>
    </xf>
    <xf numFmtId="164" fontId="0" fillId="0" borderId="16" xfId="0" applyNumberFormat="1" applyBorder="1" applyAlignment="1">
      <alignment horizontal="center"/>
    </xf>
    <xf numFmtId="164" fontId="0" fillId="0" borderId="7" xfId="0" applyNumberFormat="1" applyBorder="1"/>
    <xf numFmtId="164" fontId="0" fillId="0" borderId="21" xfId="0" applyNumberFormat="1" applyBorder="1"/>
    <xf numFmtId="164" fontId="0" fillId="0" borderId="8" xfId="0" applyNumberFormat="1" applyBorder="1"/>
    <xf numFmtId="0" fontId="0" fillId="0" borderId="7" xfId="0" applyBorder="1"/>
    <xf numFmtId="0" fontId="0" fillId="0" borderId="21" xfId="0" applyBorder="1"/>
    <xf numFmtId="0" fontId="0" fillId="0" borderId="8" xfId="0" applyBorder="1"/>
    <xf numFmtId="0" fontId="0" fillId="0" borderId="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8" xfId="0" applyBorder="1" applyAlignment="1">
      <alignment horizontal="center"/>
    </xf>
    <xf numFmtId="164" fontId="0" fillId="0" borderId="12" xfId="0" applyNumberFormat="1" applyBorder="1"/>
    <xf numFmtId="164" fontId="0" fillId="0" borderId="12" xfId="0" applyNumberFormat="1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12" xfId="0" applyBorder="1"/>
    <xf numFmtId="0" fontId="0" fillId="0" borderId="12" xfId="0" applyBorder="1" applyAlignment="1">
      <alignment horizontal="center"/>
    </xf>
    <xf numFmtId="164" fontId="0" fillId="0" borderId="5" xfId="0" applyNumberFormat="1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/>
    <xf numFmtId="44" fontId="0" fillId="0" borderId="12" xfId="0" applyNumberFormat="1" applyBorder="1" applyAlignment="1">
      <alignment horizontal="center"/>
    </xf>
    <xf numFmtId="164" fontId="0" fillId="0" borderId="6" xfId="0" applyNumberFormat="1" applyBorder="1"/>
    <xf numFmtId="0" fontId="8" fillId="0" borderId="0" xfId="0" applyFont="1" applyAlignment="1">
      <alignment horizontal="center"/>
    </xf>
    <xf numFmtId="0" fontId="3" fillId="4" borderId="4" xfId="0" applyFont="1" applyFill="1" applyBorder="1" applyAlignment="1">
      <alignment horizontal="right"/>
    </xf>
    <xf numFmtId="0" fontId="3" fillId="4" borderId="5" xfId="0" applyFont="1" applyFill="1" applyBorder="1" applyAlignment="1">
      <alignment horizontal="right"/>
    </xf>
    <xf numFmtId="0" fontId="2" fillId="3" borderId="0" xfId="0" applyFont="1" applyFill="1" applyAlignment="1">
      <alignment horizontal="center"/>
    </xf>
    <xf numFmtId="0" fontId="9" fillId="0" borderId="0" xfId="0" applyFont="1" applyAlignment="1">
      <alignment horizontal="center" vertical="center"/>
    </xf>
    <xf numFmtId="0" fontId="5" fillId="3" borderId="5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0" fillId="0" borderId="0" xfId="0" applyFont="1" applyAlignment="1">
      <alignment vertical="center"/>
    </xf>
  </cellXfs>
  <cellStyles count="2">
    <cellStyle name="Normal" xfId="0" builtinId="0"/>
    <cellStyle name="Porcentagem" xfId="1" builtinId="5"/>
  </cellStyles>
  <dxfs count="18">
    <dxf>
      <numFmt numFmtId="164" formatCode="_-[$R$-416]\ * #,##0.00_-;\-[$R$-416]\ * #,##0.00_-;_-[$R$-416]\ * &quot;-&quot;??_-;_-@_-"/>
      <border diagonalUp="0" diagonalDown="0"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numFmt numFmtId="164" formatCode="_-[$R$-416]\ * #,##0.00_-;\-[$R$-416]\ * #,##0.00_-;_-[$R$-416]\ * &quot;-&quot;??_-;_-@_-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34" formatCode="_-&quot;R$&quot;\ * #,##0.00_-;\-&quot;R$&quot;\ * #,##0.00_-;_-&quot;R$&quot;\ * &quot;-&quot;??_-;_-@_-"/>
      <alignment horizontal="center" vertical="bottom" textRotation="0" wrapText="0" indent="0" justifyLastLine="0" shrinkToFit="0" readingOrder="0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[$R$-416]\ * #,##0.00_-;\-[$R$-416]\ * #,##0.00_-;_-[$R$-416]\ * &quot;-&quot;??_-;_-@_-"/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numFmt numFmtId="164" formatCode="_-[$R$-416]\ * #,##0.00_-;\-[$R$-416]\ * #,##0.00_-;_-[$R$-416]\ * &quot;-&quot;??_-;_-@_-"/>
      <border diagonalUp="0" diagonalDown="0" outline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numFmt numFmtId="164" formatCode="_-[$R$-416]\ * #,##0.00_-;\-[$R$-416]\ * #,##0.00_-;_-[$R$-416]\ * &quot;-&quot;??_-;_-@_-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alignment horizontal="center" vertical="bottom" textRotation="0" wrapText="0" indent="0" justifyLastLine="0" shrinkToFit="0" readingOrder="0"/>
      <border diagonalUp="0" diagonalDown="0" outline="0">
        <left/>
        <right/>
        <top style="medium">
          <color indexed="64"/>
        </top>
        <bottom style="medium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 diagonalUp="0" diagonalDown="0" outline="0">
        <left style="medium">
          <color indexed="64"/>
        </left>
        <right/>
        <top style="medium">
          <color indexed="64"/>
        </top>
        <bottom style="medium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border>
        <top style="medium">
          <color indexed="64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DAFF0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1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3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Soma de Produtos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>
              <a:lumMod val="50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rgbClr val="4472C4">
                <a:alpha val="70000"/>
              </a:srgbClr>
            </a:solidFill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4.4724253241152354E-2"/>
          <c:y val="0.11599932881682992"/>
          <c:w val="0.95395913228678719"/>
          <c:h val="0.78891339240144742"/>
        </c:manualLayout>
      </c:layout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10"/>
              <c:pt idx="0">
                <c:v>Bermuda</c:v>
              </c:pt>
              <c:pt idx="1">
                <c:v>Bolsa</c:v>
              </c:pt>
              <c:pt idx="2">
                <c:v>Boné</c:v>
              </c:pt>
              <c:pt idx="3">
                <c:v>Calça </c:v>
              </c:pt>
              <c:pt idx="4">
                <c:v>Camiseta Lisa</c:v>
              </c:pt>
              <c:pt idx="5">
                <c:v>Cinto</c:v>
              </c:pt>
              <c:pt idx="6">
                <c:v>Jaqueta </c:v>
              </c:pt>
              <c:pt idx="7">
                <c:v>Óculos </c:v>
              </c:pt>
              <c:pt idx="8">
                <c:v>Tênis</c:v>
              </c:pt>
              <c:pt idx="9">
                <c:v>Vestido </c:v>
              </c:pt>
            </c:strLit>
          </c:cat>
          <c:val>
            <c:numLit>
              <c:formatCode>General</c:formatCode>
              <c:ptCount val="10"/>
              <c:pt idx="0">
                <c:v>40</c:v>
              </c:pt>
              <c:pt idx="1">
                <c:v>1</c:v>
              </c:pt>
              <c:pt idx="2">
                <c:v>11</c:v>
              </c:pt>
              <c:pt idx="3">
                <c:v>19</c:v>
              </c:pt>
              <c:pt idx="4">
                <c:v>28</c:v>
              </c:pt>
              <c:pt idx="5">
                <c:v>21</c:v>
              </c:pt>
              <c:pt idx="6">
                <c:v>4</c:v>
              </c:pt>
              <c:pt idx="7">
                <c:v>3</c:v>
              </c:pt>
              <c:pt idx="8">
                <c:v>3</c:v>
              </c:pt>
              <c:pt idx="9">
                <c:v>2</c:v>
              </c:pt>
            </c:numLit>
          </c:val>
          <c:extLst>
            <c:ext xmlns:c16="http://schemas.microsoft.com/office/drawing/2014/chart" uri="{C3380CC4-5D6E-409C-BE32-E72D297353CC}">
              <c16:uniqueId val="{00000000-EEAB-49C8-ABDD-BF404122E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582647855"/>
        <c:axId val="582648815"/>
      </c:barChart>
      <c:catAx>
        <c:axId val="5826478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accent1"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cap="all" spc="15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2648815"/>
        <c:crosses val="autoZero"/>
        <c:auto val="1"/>
        <c:lblAlgn val="ctr"/>
        <c:lblOffset val="100"/>
        <c:noMultiLvlLbl val="0"/>
      </c:catAx>
      <c:valAx>
        <c:axId val="5826488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826478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pt-BR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5497823-B686-42A9-AB53-D6E62B6E8AEB}">
  <sheetPr/>
  <sheetViews>
    <sheetView zoomScale="118" workbookViewId="0" zoomToFit="1"/>
  </sheetViews>
  <pageMargins left="0.511811024" right="0.511811024" top="0.78740157499999996" bottom="0.78740157499999996" header="0.31496062000000002" footer="0.31496062000000002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646081" cy="6013665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E45494-D139-7FAC-F1D3-53FF52A7ECA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DDBCA65-023C-4EC1-98AB-9D3EFD52E7AF}" name="Tabela5" displayName="Tabela5" ref="A3:H24" totalsRowCount="1" headerRowDxfId="17" totalsRowBorderDxfId="16">
  <autoFilter ref="A3:H23" xr:uid="{9DDBCA65-023C-4EC1-98AB-9D3EFD52E7AF}"/>
  <tableColumns count="8">
    <tableColumn id="1" xr3:uid="{0DC906EA-AFD4-4719-8B69-33FF19C2D8D0}" name="Produtos" dataDxfId="15" totalsRowDxfId="14"/>
    <tableColumn id="2" xr3:uid="{5868626F-6538-4792-A504-C58671A675E4}" name="Tamanho" totalsRowLabel="TOTAIS" dataDxfId="13" totalsRowDxfId="12"/>
    <tableColumn id="3" xr3:uid="{D4BC101A-97D8-4654-894F-A95A0763ECFC}" name="Categoria" dataDxfId="11" totalsRowDxfId="10"/>
    <tableColumn id="4" xr3:uid="{34BA93BF-7C06-4A74-819A-029EE57FACDA}" name="Preço Unitário" totalsRowFunction="sum" dataDxfId="9" totalsRowDxfId="8"/>
    <tableColumn id="5" xr3:uid="{79E8B5D8-9831-45EA-85F5-D3CD7A1F217D}" name="_x0009_Preço c/ Desconto" totalsRowFunction="sum" dataDxfId="7" totalsRowDxfId="6">
      <calculatedColumnFormula>Tabela5[[#This Row],[Preço Unitário]]*(1-$J$4)</calculatedColumnFormula>
    </tableColumn>
    <tableColumn id="8" xr3:uid="{2CA96BD7-CFF7-47D2-9AA7-C3CD559334C6}" name="Qtd" totalsRowFunction="sum" dataDxfId="5" totalsRowDxfId="4"/>
    <tableColumn id="9" xr3:uid="{3CA4AA1E-2190-41D4-A447-52A35EAB57D4}" name="Valor Total" totalsRowFunction="sum" dataDxfId="3" totalsRowDxfId="2">
      <calculatedColumnFormula>Tabela5[[#This Row],[Preço Unitário]]*Tabela5[[#This Row],[Qtd]]</calculatedColumnFormula>
    </tableColumn>
    <tableColumn id="6" xr3:uid="{189EF966-876C-4876-982C-C530AC065BB4}" name="Valor do Desconto" totalsRowFunction="custom" dataDxfId="1" totalsRowDxfId="0">
      <calculatedColumnFormula>Tabela5[[#This Row],[	Preço c/ Desconto]]*Tabela5[[#This Row],[Qtd]]</calculatedColumnFormula>
      <totalsRowFormula>SUM(Tabela5[Valor do Desconto])</totalsRow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  <wetp:taskpane dockstate="right" visibility="0" width="0" row="0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5DE3CC5C-E8F7-4831-AB67-80A4FBCA00B5}">
  <we:reference id="wa200003696" version="1.2.0.0" store="pt-BR" storeType="OMEX"/>
  <we:alternateReferences>
    <we:reference id="WA200003696" version="1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C1B8CC8-60C0-4F8A-BAD2-1097A8C45B2B}">
  <we:reference id="wa200005271" version="1.1.0.0" store="pt-BR" storeType="OMEX"/>
  <we:alternateReferences>
    <we:reference id="WA200005271" version="1.1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2DC3F-8DD7-4F1A-A109-A490D58F15DD}">
  <dimension ref="A1:J26"/>
  <sheetViews>
    <sheetView zoomScale="160" zoomScaleNormal="160" zoomScaleSheetLayoutView="91" workbookViewId="0">
      <pane ySplit="3" topLeftCell="A6" activePane="bottomLeft" state="frozen"/>
      <selection pane="bottomLeft" activeCell="A16" sqref="A16"/>
    </sheetView>
  </sheetViews>
  <sheetFormatPr defaultColWidth="8.85546875" defaultRowHeight="15" x14ac:dyDescent="0.25"/>
  <cols>
    <col min="1" max="1" width="16.85546875" customWidth="1"/>
    <col min="2" max="2" width="11.5703125" style="1" bestFit="1" customWidth="1"/>
    <col min="3" max="3" width="12.140625" bestFit="1" customWidth="1"/>
    <col min="4" max="4" width="17.85546875" bestFit="1" customWidth="1"/>
    <col min="5" max="5" width="22.28515625" style="1" bestFit="1" customWidth="1"/>
    <col min="6" max="6" width="17.85546875" bestFit="1" customWidth="1"/>
    <col min="7" max="8" width="22.42578125" bestFit="1" customWidth="1"/>
    <col min="10" max="10" width="12" bestFit="1" customWidth="1"/>
  </cols>
  <sheetData>
    <row r="1" spans="1:10" ht="21" x14ac:dyDescent="0.35">
      <c r="A1" s="51" t="s">
        <v>21</v>
      </c>
      <c r="B1" s="51"/>
      <c r="C1" s="51"/>
      <c r="D1" s="51"/>
      <c r="E1" s="51"/>
      <c r="F1" s="51"/>
      <c r="G1" s="51"/>
      <c r="H1" s="51"/>
    </row>
    <row r="2" spans="1:10" ht="4.5" customHeight="1" thickBot="1" x14ac:dyDescent="0.4">
      <c r="A2" s="3"/>
      <c r="B2" s="3"/>
      <c r="C2" s="3"/>
      <c r="D2" s="3"/>
      <c r="E2" s="3"/>
      <c r="F2" s="3"/>
      <c r="G2" s="3"/>
      <c r="H2" s="13"/>
    </row>
    <row r="3" spans="1:10" s="2" customFormat="1" ht="19.5" thickBot="1" x14ac:dyDescent="0.35">
      <c r="A3" s="4" t="s">
        <v>0</v>
      </c>
      <c r="B3" s="5" t="s">
        <v>1</v>
      </c>
      <c r="C3" s="5" t="s">
        <v>16</v>
      </c>
      <c r="D3" s="5" t="s">
        <v>17</v>
      </c>
      <c r="E3" s="6" t="s">
        <v>28</v>
      </c>
      <c r="F3" s="6" t="s">
        <v>22</v>
      </c>
      <c r="G3" s="5" t="s">
        <v>23</v>
      </c>
      <c r="H3" s="5" t="s">
        <v>26</v>
      </c>
      <c r="J3" s="11" t="s">
        <v>25</v>
      </c>
    </row>
    <row r="4" spans="1:10" ht="15.75" thickBot="1" x14ac:dyDescent="0.3">
      <c r="A4" s="30" t="s">
        <v>5</v>
      </c>
      <c r="B4" s="33" t="s">
        <v>14</v>
      </c>
      <c r="C4" s="30" t="s">
        <v>19</v>
      </c>
      <c r="D4" s="27">
        <v>399.9</v>
      </c>
      <c r="E4" s="24">
        <f>D4*(1-$J$4)</f>
        <v>359.90999999999997</v>
      </c>
      <c r="F4" s="21">
        <v>3</v>
      </c>
      <c r="G4" s="20">
        <f>D4*F4</f>
        <v>1199.6999999999998</v>
      </c>
      <c r="H4" s="27">
        <f>E4*F4</f>
        <v>1079.73</v>
      </c>
      <c r="J4" s="12">
        <v>0.1</v>
      </c>
    </row>
    <row r="5" spans="1:10" ht="15.75" thickBot="1" x14ac:dyDescent="0.3">
      <c r="A5" s="31" t="s">
        <v>11</v>
      </c>
      <c r="B5" s="34" t="s">
        <v>14</v>
      </c>
      <c r="C5" s="31" t="s">
        <v>19</v>
      </c>
      <c r="D5" s="28">
        <v>259.89999999999998</v>
      </c>
      <c r="E5" s="25">
        <f>D5*(1-$J$4)</f>
        <v>233.91</v>
      </c>
      <c r="F5" s="22">
        <v>1</v>
      </c>
      <c r="G5" s="20">
        <f>D5*F5</f>
        <v>259.89999999999998</v>
      </c>
      <c r="H5" s="27">
        <f>E5*F5</f>
        <v>233.91</v>
      </c>
    </row>
    <row r="6" spans="1:10" ht="15.75" thickBot="1" x14ac:dyDescent="0.3">
      <c r="A6" s="31" t="s">
        <v>13</v>
      </c>
      <c r="B6" s="34" t="s">
        <v>14</v>
      </c>
      <c r="C6" s="31" t="s">
        <v>19</v>
      </c>
      <c r="D6" s="28">
        <v>49.9</v>
      </c>
      <c r="E6" s="25">
        <f>D6*(1-$J$4)</f>
        <v>44.91</v>
      </c>
      <c r="F6" s="22">
        <v>21</v>
      </c>
      <c r="G6" s="20">
        <f>D6*F6</f>
        <v>1047.8999999999999</v>
      </c>
      <c r="H6" s="27">
        <f>E6*F6</f>
        <v>943.1099999999999</v>
      </c>
    </row>
    <row r="7" spans="1:10" ht="15.75" thickBot="1" x14ac:dyDescent="0.3">
      <c r="A7" s="31" t="s">
        <v>12</v>
      </c>
      <c r="B7" s="34" t="s">
        <v>14</v>
      </c>
      <c r="C7" s="31" t="s">
        <v>19</v>
      </c>
      <c r="D7" s="28">
        <v>39.9</v>
      </c>
      <c r="E7" s="25">
        <f>D7*(1-$J$4)</f>
        <v>35.909999999999997</v>
      </c>
      <c r="F7" s="22">
        <v>11</v>
      </c>
      <c r="G7" s="20">
        <f>D7*F7</f>
        <v>438.9</v>
      </c>
      <c r="H7" s="27">
        <f>E7*F7</f>
        <v>395.01</v>
      </c>
    </row>
    <row r="8" spans="1:10" ht="15.75" thickBot="1" x14ac:dyDescent="0.3">
      <c r="A8" s="31" t="s">
        <v>10</v>
      </c>
      <c r="B8" s="34">
        <v>38</v>
      </c>
      <c r="C8" s="31" t="s">
        <v>20</v>
      </c>
      <c r="D8" s="28">
        <v>259.89999999999998</v>
      </c>
      <c r="E8" s="25">
        <f>D8*(1-$J$4)</f>
        <v>233.91</v>
      </c>
      <c r="F8" s="22">
        <v>0</v>
      </c>
      <c r="G8" s="20">
        <f>D8*F8</f>
        <v>0</v>
      </c>
      <c r="H8" s="27">
        <f>E8*F8</f>
        <v>0</v>
      </c>
    </row>
    <row r="9" spans="1:10" ht="15.75" thickBot="1" x14ac:dyDescent="0.3">
      <c r="A9" s="31" t="s">
        <v>10</v>
      </c>
      <c r="B9" s="34">
        <v>37</v>
      </c>
      <c r="C9" s="31" t="s">
        <v>20</v>
      </c>
      <c r="D9" s="28">
        <v>249.9</v>
      </c>
      <c r="E9" s="25">
        <f>D9*(1-$J$4)</f>
        <v>224.91</v>
      </c>
      <c r="F9" s="22">
        <v>1</v>
      </c>
      <c r="G9" s="20">
        <f>D9*F9</f>
        <v>249.9</v>
      </c>
      <c r="H9" s="27">
        <f>E9*F9</f>
        <v>224.91</v>
      </c>
    </row>
    <row r="10" spans="1:10" ht="15.75" thickBot="1" x14ac:dyDescent="0.3">
      <c r="A10" s="31" t="s">
        <v>10</v>
      </c>
      <c r="B10" s="34">
        <v>36</v>
      </c>
      <c r="C10" s="31" t="s">
        <v>20</v>
      </c>
      <c r="D10" s="28">
        <v>199.9</v>
      </c>
      <c r="E10" s="25">
        <f>D10*(1-$J$4)</f>
        <v>179.91</v>
      </c>
      <c r="F10" s="22">
        <v>2</v>
      </c>
      <c r="G10" s="20">
        <f>D10*F10</f>
        <v>399.8</v>
      </c>
      <c r="H10" s="27">
        <f>E10*F10</f>
        <v>359.82</v>
      </c>
    </row>
    <row r="11" spans="1:10" ht="15.75" thickBot="1" x14ac:dyDescent="0.3">
      <c r="A11" s="31" t="s">
        <v>6</v>
      </c>
      <c r="B11" s="34" t="s">
        <v>4</v>
      </c>
      <c r="C11" s="31" t="s">
        <v>18</v>
      </c>
      <c r="D11" s="28">
        <v>299.89999999999998</v>
      </c>
      <c r="E11" s="25">
        <f>D11*(1-$J$4)</f>
        <v>269.90999999999997</v>
      </c>
      <c r="F11" s="22">
        <v>1</v>
      </c>
      <c r="G11" s="20">
        <f>D11*F11</f>
        <v>299.89999999999998</v>
      </c>
      <c r="H11" s="27">
        <f>E11*F11</f>
        <v>269.90999999999997</v>
      </c>
    </row>
    <row r="12" spans="1:10" ht="15.75" thickBot="1" x14ac:dyDescent="0.3">
      <c r="A12" s="31" t="s">
        <v>6</v>
      </c>
      <c r="B12" s="34" t="s">
        <v>3</v>
      </c>
      <c r="C12" s="31" t="s">
        <v>18</v>
      </c>
      <c r="D12" s="28">
        <v>259.89999999999998</v>
      </c>
      <c r="E12" s="25">
        <f>D12*(1-$J$4)</f>
        <v>233.91</v>
      </c>
      <c r="F12" s="22">
        <v>2</v>
      </c>
      <c r="G12" s="20">
        <f>D12*F12</f>
        <v>519.79999999999995</v>
      </c>
      <c r="H12" s="27">
        <f>E12*F12</f>
        <v>467.82</v>
      </c>
    </row>
    <row r="13" spans="1:10" ht="15.75" thickBot="1" x14ac:dyDescent="0.3">
      <c r="A13" s="31" t="s">
        <v>6</v>
      </c>
      <c r="B13" s="34" t="s">
        <v>2</v>
      </c>
      <c r="C13" s="31" t="s">
        <v>18</v>
      </c>
      <c r="D13" s="28">
        <v>249.9</v>
      </c>
      <c r="E13" s="25">
        <f>D13*(1-$J$4)</f>
        <v>224.91</v>
      </c>
      <c r="F13" s="22">
        <v>1</v>
      </c>
      <c r="G13" s="20">
        <f>D13*F13</f>
        <v>249.9</v>
      </c>
      <c r="H13" s="27">
        <f>E13*F13</f>
        <v>224.91</v>
      </c>
    </row>
    <row r="14" spans="1:10" ht="15.75" thickBot="1" x14ac:dyDescent="0.3">
      <c r="A14" s="31" t="s">
        <v>8</v>
      </c>
      <c r="B14" s="34" t="s">
        <v>14</v>
      </c>
      <c r="C14" s="31" t="s">
        <v>18</v>
      </c>
      <c r="D14" s="28">
        <v>149.9</v>
      </c>
      <c r="E14" s="25">
        <f>D14*(1-$J$4)</f>
        <v>134.91</v>
      </c>
      <c r="F14" s="22">
        <v>2</v>
      </c>
      <c r="G14" s="20">
        <f>D14*F14</f>
        <v>299.8</v>
      </c>
      <c r="H14" s="27">
        <f>E14*F14</f>
        <v>269.82</v>
      </c>
    </row>
    <row r="15" spans="1:10" ht="15.75" thickBot="1" x14ac:dyDescent="0.3">
      <c r="A15" s="31" t="s">
        <v>7</v>
      </c>
      <c r="B15" s="34" t="s">
        <v>4</v>
      </c>
      <c r="C15" s="31" t="s">
        <v>18</v>
      </c>
      <c r="D15" s="28">
        <v>92.9</v>
      </c>
      <c r="E15" s="25">
        <f>D15*(1-$J$4)</f>
        <v>83.610000000000014</v>
      </c>
      <c r="F15" s="22">
        <v>6</v>
      </c>
      <c r="G15" s="20">
        <f>D15*F15</f>
        <v>557.40000000000009</v>
      </c>
      <c r="H15" s="27">
        <f>E15*F15</f>
        <v>501.66000000000008</v>
      </c>
    </row>
    <row r="16" spans="1:10" ht="15.75" thickBot="1" x14ac:dyDescent="0.3">
      <c r="A16" s="31" t="s">
        <v>7</v>
      </c>
      <c r="B16" s="34" t="s">
        <v>3</v>
      </c>
      <c r="C16" s="31" t="s">
        <v>18</v>
      </c>
      <c r="D16" s="28">
        <v>89.9</v>
      </c>
      <c r="E16" s="25">
        <f>D16*(1-$J$4)</f>
        <v>80.910000000000011</v>
      </c>
      <c r="F16" s="22">
        <v>5</v>
      </c>
      <c r="G16" s="20">
        <f>D16*F16</f>
        <v>449.5</v>
      </c>
      <c r="H16" s="27">
        <f>E16*F16</f>
        <v>404.55000000000007</v>
      </c>
    </row>
    <row r="17" spans="1:8" ht="15.75" thickBot="1" x14ac:dyDescent="0.3">
      <c r="A17" s="31" t="s">
        <v>7</v>
      </c>
      <c r="B17" s="34" t="s">
        <v>2</v>
      </c>
      <c r="C17" s="31" t="s">
        <v>18</v>
      </c>
      <c r="D17" s="28">
        <v>85.9</v>
      </c>
      <c r="E17" s="25">
        <f>D17*(1-$J$4)</f>
        <v>77.31</v>
      </c>
      <c r="F17" s="22">
        <v>8</v>
      </c>
      <c r="G17" s="20">
        <f>D17*F17</f>
        <v>687.2</v>
      </c>
      <c r="H17" s="27">
        <f>E17*F17</f>
        <v>618.48</v>
      </c>
    </row>
    <row r="18" spans="1:8" ht="15.75" thickBot="1" x14ac:dyDescent="0.3">
      <c r="A18" s="31" t="s">
        <v>9</v>
      </c>
      <c r="B18" s="34" t="s">
        <v>4</v>
      </c>
      <c r="C18" s="31" t="s">
        <v>18</v>
      </c>
      <c r="D18" s="28">
        <v>70.900000000000006</v>
      </c>
      <c r="E18" s="25">
        <f>D18*(1-$J$4)</f>
        <v>63.810000000000009</v>
      </c>
      <c r="F18" s="22">
        <v>13</v>
      </c>
      <c r="G18" s="20">
        <f>D18*F18</f>
        <v>921.7</v>
      </c>
      <c r="H18" s="27">
        <f>E18*F18</f>
        <v>829.53000000000009</v>
      </c>
    </row>
    <row r="19" spans="1:8" ht="15.75" thickBot="1" x14ac:dyDescent="0.3">
      <c r="A19" s="31" t="s">
        <v>9</v>
      </c>
      <c r="B19" s="34" t="s">
        <v>3</v>
      </c>
      <c r="C19" s="31" t="s">
        <v>18</v>
      </c>
      <c r="D19" s="28">
        <v>69.900000000000006</v>
      </c>
      <c r="E19" s="25">
        <f>D19*(1-$J$4)</f>
        <v>62.910000000000004</v>
      </c>
      <c r="F19" s="22">
        <v>15</v>
      </c>
      <c r="G19" s="20">
        <f>D19*F19</f>
        <v>1048.5</v>
      </c>
      <c r="H19" s="27">
        <f>E19*F19</f>
        <v>943.65000000000009</v>
      </c>
    </row>
    <row r="20" spans="1:8" ht="15.75" thickBot="1" x14ac:dyDescent="0.3">
      <c r="A20" s="31" t="s">
        <v>9</v>
      </c>
      <c r="B20" s="34" t="s">
        <v>2</v>
      </c>
      <c r="C20" s="31" t="s">
        <v>18</v>
      </c>
      <c r="D20" s="28">
        <v>65.900000000000006</v>
      </c>
      <c r="E20" s="25">
        <f>D20*(1-$J$4)</f>
        <v>59.310000000000009</v>
      </c>
      <c r="F20" s="22">
        <v>12</v>
      </c>
      <c r="G20" s="20">
        <f>D20*F20</f>
        <v>790.80000000000007</v>
      </c>
      <c r="H20" s="27">
        <f>E20*F20</f>
        <v>711.72000000000014</v>
      </c>
    </row>
    <row r="21" spans="1:8" ht="15.75" thickBot="1" x14ac:dyDescent="0.3">
      <c r="A21" s="31" t="s">
        <v>15</v>
      </c>
      <c r="B21" s="34" t="s">
        <v>4</v>
      </c>
      <c r="C21" s="31" t="s">
        <v>18</v>
      </c>
      <c r="D21" s="28">
        <v>32.9</v>
      </c>
      <c r="E21" s="25">
        <f>D21*(1-$J$4)</f>
        <v>29.61</v>
      </c>
      <c r="F21" s="22">
        <v>6</v>
      </c>
      <c r="G21" s="20">
        <f>D21*F21</f>
        <v>197.39999999999998</v>
      </c>
      <c r="H21" s="27">
        <f>E21*F21</f>
        <v>177.66</v>
      </c>
    </row>
    <row r="22" spans="1:8" ht="15.75" thickBot="1" x14ac:dyDescent="0.3">
      <c r="A22" s="31" t="s">
        <v>15</v>
      </c>
      <c r="B22" s="34" t="s">
        <v>3</v>
      </c>
      <c r="C22" s="31" t="s">
        <v>18</v>
      </c>
      <c r="D22" s="28">
        <v>29.9</v>
      </c>
      <c r="E22" s="25">
        <f>D22*(1-$J$4)</f>
        <v>26.91</v>
      </c>
      <c r="F22" s="22">
        <v>10</v>
      </c>
      <c r="G22" s="20">
        <f>D22*F22</f>
        <v>299</v>
      </c>
      <c r="H22" s="27">
        <f>E22*F22</f>
        <v>269.10000000000002</v>
      </c>
    </row>
    <row r="23" spans="1:8" ht="15.75" thickBot="1" x14ac:dyDescent="0.3">
      <c r="A23" s="32" t="s">
        <v>15</v>
      </c>
      <c r="B23" s="35" t="s">
        <v>2</v>
      </c>
      <c r="C23" s="32" t="s">
        <v>18</v>
      </c>
      <c r="D23" s="29">
        <v>25.9</v>
      </c>
      <c r="E23" s="26">
        <f>D23*(1-$J$4)</f>
        <v>23.31</v>
      </c>
      <c r="F23" s="23">
        <v>12</v>
      </c>
      <c r="G23" s="20">
        <f>D23*F23</f>
        <v>310.79999999999995</v>
      </c>
      <c r="H23" s="27">
        <f>E23*F23</f>
        <v>279.71999999999997</v>
      </c>
    </row>
    <row r="24" spans="1:8" ht="4.5" customHeight="1" thickBot="1" x14ac:dyDescent="0.4">
      <c r="A24" s="3"/>
      <c r="B24" s="3"/>
      <c r="C24" s="3"/>
      <c r="D24" s="3"/>
      <c r="E24" s="3"/>
      <c r="F24" s="3"/>
      <c r="G24" s="3"/>
      <c r="H24" s="13"/>
    </row>
    <row r="25" spans="1:8" ht="19.5" thickBot="1" x14ac:dyDescent="0.35">
      <c r="A25" s="49" t="s">
        <v>24</v>
      </c>
      <c r="B25" s="50"/>
      <c r="C25" s="50"/>
      <c r="D25" s="15">
        <f>SUM(D4:D23)</f>
        <v>2983.0000000000009</v>
      </c>
      <c r="E25" s="8">
        <f>SUM(E4:E23)</f>
        <v>2684.6999999999994</v>
      </c>
      <c r="F25" s="53">
        <f>SUM(F4:F23)</f>
        <v>132</v>
      </c>
      <c r="G25" s="16">
        <f>SUM(G4:G23)</f>
        <v>10227.799999999997</v>
      </c>
      <c r="H25" s="17">
        <f>SUM(H4:H23)</f>
        <v>9205.0199999999986</v>
      </c>
    </row>
    <row r="26" spans="1:8" x14ac:dyDescent="0.25">
      <c r="E26" s="48"/>
      <c r="H26" s="14"/>
    </row>
  </sheetData>
  <sortState xmlns:xlrd2="http://schemas.microsoft.com/office/spreadsheetml/2017/richdata2" ref="A4:H23">
    <sortCondition ref="C4:C23"/>
    <sortCondition descending="1" ref="D4:D23"/>
  </sortState>
  <mergeCells count="2">
    <mergeCell ref="A25:C25"/>
    <mergeCell ref="A1:H1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B59C6B-5B9D-4588-834B-BFA503CCD2EC}">
  <dimension ref="A1:E4"/>
  <sheetViews>
    <sheetView tabSelected="1" zoomScale="205" zoomScaleNormal="205" workbookViewId="0">
      <selection activeCell="D5" sqref="D5"/>
    </sheetView>
  </sheetViews>
  <sheetFormatPr defaultRowHeight="15" x14ac:dyDescent="0.25"/>
  <cols>
    <col min="2" max="2" width="21.7109375" customWidth="1"/>
    <col min="3" max="3" width="12" bestFit="1" customWidth="1"/>
    <col min="4" max="4" width="11.42578125" customWidth="1"/>
    <col min="5" max="5" width="11" customWidth="1"/>
  </cols>
  <sheetData>
    <row r="1" spans="1:5" ht="26.25" customHeight="1" x14ac:dyDescent="0.25">
      <c r="A1" s="55" t="s">
        <v>30</v>
      </c>
      <c r="B1" s="56"/>
    </row>
    <row r="2" spans="1:5" x14ac:dyDescent="0.25">
      <c r="D2" s="54" t="s">
        <v>7</v>
      </c>
      <c r="E2" s="54"/>
    </row>
    <row r="3" spans="1:5" ht="45" customHeight="1" x14ac:dyDescent="0.25">
      <c r="B3" s="57" t="s">
        <v>31</v>
      </c>
      <c r="C3" s="57" t="s">
        <v>32</v>
      </c>
      <c r="D3" s="57" t="s">
        <v>31</v>
      </c>
      <c r="E3" s="57" t="s">
        <v>32</v>
      </c>
    </row>
    <row r="4" spans="1:5" ht="41.25" customHeight="1" x14ac:dyDescent="0.25">
      <c r="B4" s="52">
        <f>COUNTIF(Produtos!F4:F23,"&gt;0")</f>
        <v>19</v>
      </c>
      <c r="C4" s="58">
        <f>Produtos!F25</f>
        <v>132</v>
      </c>
      <c r="D4" s="58" cm="1">
        <f t="array" ref="D4:E4">COUNTIF(Int_Nome_Produto,Planilha2!D3:E3)</f>
        <v>0</v>
      </c>
      <c r="E4" s="58">
        <v>0</v>
      </c>
    </row>
  </sheetData>
  <mergeCells count="2">
    <mergeCell ref="A1:B1"/>
    <mergeCell ref="D2:E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25D4F-4FEE-4357-9658-5E1916B70D88}">
  <dimension ref="A1:J24"/>
  <sheetViews>
    <sheetView topLeftCell="H1" zoomScale="115" zoomScaleNormal="115" workbookViewId="0">
      <selection activeCell="H26" sqref="H26:H27"/>
    </sheetView>
  </sheetViews>
  <sheetFormatPr defaultColWidth="8.85546875" defaultRowHeight="15" x14ac:dyDescent="0.25"/>
  <cols>
    <col min="1" max="1" width="16.140625" bestFit="1" customWidth="1"/>
    <col min="2" max="2" width="16.140625" style="1" bestFit="1" customWidth="1"/>
    <col min="3" max="3" width="16.7109375" bestFit="1" customWidth="1"/>
    <col min="4" max="4" width="22.42578125" bestFit="1" customWidth="1"/>
    <col min="5" max="5" width="26.85546875" style="1" bestFit="1" customWidth="1"/>
    <col min="6" max="6" width="10.140625" bestFit="1" customWidth="1"/>
    <col min="7" max="7" width="18.28515625" bestFit="1" customWidth="1"/>
    <col min="8" max="8" width="27" bestFit="1" customWidth="1"/>
  </cols>
  <sheetData>
    <row r="1" spans="1:10" ht="21" x14ac:dyDescent="0.35">
      <c r="A1" s="51" t="s">
        <v>21</v>
      </c>
      <c r="B1" s="51"/>
      <c r="C1" s="51"/>
      <c r="D1" s="51"/>
      <c r="E1" s="51"/>
      <c r="F1" s="51"/>
      <c r="G1" s="51"/>
      <c r="H1" s="51"/>
    </row>
    <row r="2" spans="1:10" ht="4.5" customHeight="1" thickBot="1" x14ac:dyDescent="0.4">
      <c r="A2" s="3"/>
      <c r="B2" s="3"/>
      <c r="C2" s="3"/>
      <c r="D2" s="3"/>
      <c r="E2" s="7"/>
      <c r="F2" s="7"/>
      <c r="G2" s="7"/>
      <c r="H2" s="13"/>
    </row>
    <row r="3" spans="1:10" s="2" customFormat="1" ht="19.5" thickBot="1" x14ac:dyDescent="0.35">
      <c r="A3" s="2" t="s">
        <v>0</v>
      </c>
      <c r="B3" s="2" t="s">
        <v>1</v>
      </c>
      <c r="C3" s="2" t="s">
        <v>16</v>
      </c>
      <c r="D3" s="2" t="s">
        <v>17</v>
      </c>
      <c r="E3" s="2" t="s">
        <v>28</v>
      </c>
      <c r="F3" s="2" t="s">
        <v>22</v>
      </c>
      <c r="G3" s="2" t="s">
        <v>23</v>
      </c>
      <c r="H3" s="2" t="s">
        <v>27</v>
      </c>
      <c r="J3" s="9" t="s">
        <v>25</v>
      </c>
    </row>
    <row r="4" spans="1:10" ht="15.75" thickBot="1" x14ac:dyDescent="0.3">
      <c r="A4" s="40" t="s">
        <v>15</v>
      </c>
      <c r="B4" s="41" t="s">
        <v>2</v>
      </c>
      <c r="C4" s="40" t="s">
        <v>18</v>
      </c>
      <c r="D4" s="36">
        <v>25.9</v>
      </c>
      <c r="E4" s="37">
        <f>Tabela5[[#This Row],[Preço Unitário]]*(1-$J$4)</f>
        <v>23.31</v>
      </c>
      <c r="F4" s="41">
        <v>12</v>
      </c>
      <c r="G4" s="42">
        <f>Tabela5[[#This Row],[Preço Unitário]]*Tabela5[[#This Row],[Qtd]]</f>
        <v>310.79999999999995</v>
      </c>
      <c r="H4" s="37">
        <f>Tabela5[[#This Row],[	Preço c/ Desconto]]*Tabela5[[#This Row],[Qtd]]</f>
        <v>279.71999999999997</v>
      </c>
      <c r="J4" s="10">
        <v>0.1</v>
      </c>
    </row>
    <row r="5" spans="1:10" ht="15.75" thickBot="1" x14ac:dyDescent="0.3">
      <c r="A5" s="40" t="s">
        <v>15</v>
      </c>
      <c r="B5" s="41" t="s">
        <v>3</v>
      </c>
      <c r="C5" s="40" t="s">
        <v>18</v>
      </c>
      <c r="D5" s="36">
        <v>29.9</v>
      </c>
      <c r="E5" s="37">
        <f>Tabela5[[#This Row],[Preço Unitário]]*(1-$J$4)</f>
        <v>26.91</v>
      </c>
      <c r="F5" s="41">
        <v>10</v>
      </c>
      <c r="G5" s="42">
        <f>Tabela5[[#This Row],[Preço Unitário]]*Tabela5[[#This Row],[Qtd]]</f>
        <v>299</v>
      </c>
      <c r="H5" s="37">
        <f>Tabela5[[#This Row],[	Preço c/ Desconto]]*Tabela5[[#This Row],[Qtd]]</f>
        <v>269.10000000000002</v>
      </c>
    </row>
    <row r="6" spans="1:10" ht="15.75" thickBot="1" x14ac:dyDescent="0.3">
      <c r="A6" s="40" t="s">
        <v>15</v>
      </c>
      <c r="B6" s="41" t="s">
        <v>4</v>
      </c>
      <c r="C6" s="40" t="s">
        <v>18</v>
      </c>
      <c r="D6" s="36">
        <v>32.9</v>
      </c>
      <c r="E6" s="37">
        <f>Tabela5[[#This Row],[Preço Unitário]]*(1-$J$4)</f>
        <v>29.61</v>
      </c>
      <c r="F6" s="41">
        <v>6</v>
      </c>
      <c r="G6" s="42">
        <f>Tabela5[[#This Row],[Preço Unitário]]*Tabela5[[#This Row],[Qtd]]</f>
        <v>197.39999999999998</v>
      </c>
      <c r="H6" s="37">
        <f>Tabela5[[#This Row],[	Preço c/ Desconto]]*Tabela5[[#This Row],[Qtd]]</f>
        <v>177.66</v>
      </c>
    </row>
    <row r="7" spans="1:10" ht="15.75" thickBot="1" x14ac:dyDescent="0.3">
      <c r="A7" s="40" t="s">
        <v>5</v>
      </c>
      <c r="B7" s="41" t="s">
        <v>14</v>
      </c>
      <c r="C7" s="40" t="s">
        <v>19</v>
      </c>
      <c r="D7" s="36">
        <v>399.9</v>
      </c>
      <c r="E7" s="37">
        <f>Tabela5[[#This Row],[Preço Unitário]]*(1-$J$4)</f>
        <v>359.90999999999997</v>
      </c>
      <c r="F7" s="41">
        <v>3</v>
      </c>
      <c r="G7" s="42">
        <f>Tabela5[[#This Row],[Preço Unitário]]*Tabela5[[#This Row],[Qtd]]</f>
        <v>1199.6999999999998</v>
      </c>
      <c r="H7" s="37">
        <f>Tabela5[[#This Row],[	Preço c/ Desconto]]*Tabela5[[#This Row],[Qtd]]</f>
        <v>1079.73</v>
      </c>
    </row>
    <row r="8" spans="1:10" ht="15.75" thickBot="1" x14ac:dyDescent="0.3">
      <c r="A8" s="40" t="s">
        <v>6</v>
      </c>
      <c r="B8" s="41" t="s">
        <v>2</v>
      </c>
      <c r="C8" s="40" t="s">
        <v>18</v>
      </c>
      <c r="D8" s="36">
        <v>249.9</v>
      </c>
      <c r="E8" s="37">
        <f>Tabela5[[#This Row],[Preço Unitário]]*(1-$J$4)</f>
        <v>224.91</v>
      </c>
      <c r="F8" s="41">
        <v>1</v>
      </c>
      <c r="G8" s="42">
        <f>Tabela5[[#This Row],[Preço Unitário]]*Tabela5[[#This Row],[Qtd]]</f>
        <v>249.9</v>
      </c>
      <c r="H8" s="37">
        <f>Tabela5[[#This Row],[	Preço c/ Desconto]]*Tabela5[[#This Row],[Qtd]]</f>
        <v>224.91</v>
      </c>
    </row>
    <row r="9" spans="1:10" ht="15.75" thickBot="1" x14ac:dyDescent="0.3">
      <c r="A9" s="40" t="s">
        <v>6</v>
      </c>
      <c r="B9" s="41" t="s">
        <v>3</v>
      </c>
      <c r="C9" s="40" t="s">
        <v>18</v>
      </c>
      <c r="D9" s="36">
        <v>259.89999999999998</v>
      </c>
      <c r="E9" s="37">
        <f>Tabela5[[#This Row],[Preço Unitário]]*(1-$J$4)</f>
        <v>233.91</v>
      </c>
      <c r="F9" s="41">
        <v>2</v>
      </c>
      <c r="G9" s="42">
        <f>Tabela5[[#This Row],[Preço Unitário]]*Tabela5[[#This Row],[Qtd]]</f>
        <v>519.79999999999995</v>
      </c>
      <c r="H9" s="37">
        <f>Tabela5[[#This Row],[	Preço c/ Desconto]]*Tabela5[[#This Row],[Qtd]]</f>
        <v>467.82</v>
      </c>
    </row>
    <row r="10" spans="1:10" ht="15.75" thickBot="1" x14ac:dyDescent="0.3">
      <c r="A10" s="40" t="s">
        <v>6</v>
      </c>
      <c r="B10" s="41" t="s">
        <v>4</v>
      </c>
      <c r="C10" s="40" t="s">
        <v>18</v>
      </c>
      <c r="D10" s="36">
        <v>299.89999999999998</v>
      </c>
      <c r="E10" s="37">
        <f>Tabela5[[#This Row],[Preço Unitário]]*(1-$J$4)</f>
        <v>269.90999999999997</v>
      </c>
      <c r="F10" s="41">
        <v>1</v>
      </c>
      <c r="G10" s="42">
        <f>Tabela5[[#This Row],[Preço Unitário]]*Tabela5[[#This Row],[Qtd]]</f>
        <v>299.89999999999998</v>
      </c>
      <c r="H10" s="37">
        <f>Tabela5[[#This Row],[	Preço c/ Desconto]]*Tabela5[[#This Row],[Qtd]]</f>
        <v>269.90999999999997</v>
      </c>
    </row>
    <row r="11" spans="1:10" ht="15.75" thickBot="1" x14ac:dyDescent="0.3">
      <c r="A11" s="40" t="s">
        <v>7</v>
      </c>
      <c r="B11" s="41" t="s">
        <v>2</v>
      </c>
      <c r="C11" s="40" t="s">
        <v>18</v>
      </c>
      <c r="D11" s="36">
        <v>85.9</v>
      </c>
      <c r="E11" s="37">
        <f>Tabela5[[#This Row],[Preço Unitário]]*(1-$J$4)</f>
        <v>77.31</v>
      </c>
      <c r="F11" s="41">
        <v>8</v>
      </c>
      <c r="G11" s="42">
        <f>Tabela5[[#This Row],[Preço Unitário]]*Tabela5[[#This Row],[Qtd]]</f>
        <v>687.2</v>
      </c>
      <c r="H11" s="37">
        <f>Tabela5[[#This Row],[	Preço c/ Desconto]]*Tabela5[[#This Row],[Qtd]]</f>
        <v>618.48</v>
      </c>
    </row>
    <row r="12" spans="1:10" ht="15.75" thickBot="1" x14ac:dyDescent="0.3">
      <c r="A12" s="40" t="s">
        <v>7</v>
      </c>
      <c r="B12" s="41" t="s">
        <v>3</v>
      </c>
      <c r="C12" s="40" t="s">
        <v>18</v>
      </c>
      <c r="D12" s="36">
        <v>89.9</v>
      </c>
      <c r="E12" s="37">
        <f>Tabela5[[#This Row],[Preço Unitário]]*(1-$J$4)</f>
        <v>80.910000000000011</v>
      </c>
      <c r="F12" s="41">
        <v>5</v>
      </c>
      <c r="G12" s="42">
        <f>Tabela5[[#This Row],[Preço Unitário]]*Tabela5[[#This Row],[Qtd]]</f>
        <v>449.5</v>
      </c>
      <c r="H12" s="37">
        <f>Tabela5[[#This Row],[	Preço c/ Desconto]]*Tabela5[[#This Row],[Qtd]]</f>
        <v>404.55000000000007</v>
      </c>
    </row>
    <row r="13" spans="1:10" ht="15.75" thickBot="1" x14ac:dyDescent="0.3">
      <c r="A13" s="40" t="s">
        <v>7</v>
      </c>
      <c r="B13" s="41" t="s">
        <v>4</v>
      </c>
      <c r="C13" s="40" t="s">
        <v>18</v>
      </c>
      <c r="D13" s="36">
        <v>92.9</v>
      </c>
      <c r="E13" s="37">
        <f>Tabela5[[#This Row],[Preço Unitário]]*(1-$J$4)</f>
        <v>83.610000000000014</v>
      </c>
      <c r="F13" s="41">
        <v>6</v>
      </c>
      <c r="G13" s="42">
        <f>Tabela5[[#This Row],[Preço Unitário]]*Tabela5[[#This Row],[Qtd]]</f>
        <v>557.40000000000009</v>
      </c>
      <c r="H13" s="37">
        <f>Tabela5[[#This Row],[	Preço c/ Desconto]]*Tabela5[[#This Row],[Qtd]]</f>
        <v>501.66000000000008</v>
      </c>
    </row>
    <row r="14" spans="1:10" ht="15.75" thickBot="1" x14ac:dyDescent="0.3">
      <c r="A14" s="40" t="s">
        <v>8</v>
      </c>
      <c r="B14" s="41" t="s">
        <v>14</v>
      </c>
      <c r="C14" s="40" t="s">
        <v>18</v>
      </c>
      <c r="D14" s="36">
        <v>149.9</v>
      </c>
      <c r="E14" s="37">
        <f>Tabela5[[#This Row],[Preço Unitário]]*(1-$J$4)</f>
        <v>134.91</v>
      </c>
      <c r="F14" s="41">
        <v>2</v>
      </c>
      <c r="G14" s="42">
        <f>Tabela5[[#This Row],[Preço Unitário]]*Tabela5[[#This Row],[Qtd]]</f>
        <v>299.8</v>
      </c>
      <c r="H14" s="37">
        <f>Tabela5[[#This Row],[	Preço c/ Desconto]]*Tabela5[[#This Row],[Qtd]]</f>
        <v>269.82</v>
      </c>
    </row>
    <row r="15" spans="1:10" ht="15.75" thickBot="1" x14ac:dyDescent="0.3">
      <c r="A15" s="40" t="s">
        <v>9</v>
      </c>
      <c r="B15" s="41" t="s">
        <v>2</v>
      </c>
      <c r="C15" s="40" t="s">
        <v>18</v>
      </c>
      <c r="D15" s="36">
        <v>65.900000000000006</v>
      </c>
      <c r="E15" s="37">
        <f>Tabela5[[#This Row],[Preço Unitário]]*(1-$J$4)</f>
        <v>59.310000000000009</v>
      </c>
      <c r="F15" s="41">
        <v>12</v>
      </c>
      <c r="G15" s="42">
        <f>Tabela5[[#This Row],[Preço Unitário]]*Tabela5[[#This Row],[Qtd]]</f>
        <v>790.80000000000007</v>
      </c>
      <c r="H15" s="37">
        <f>Tabela5[[#This Row],[	Preço c/ Desconto]]*Tabela5[[#This Row],[Qtd]]</f>
        <v>711.72000000000014</v>
      </c>
    </row>
    <row r="16" spans="1:10" ht="15.75" thickBot="1" x14ac:dyDescent="0.3">
      <c r="A16" s="40" t="s">
        <v>9</v>
      </c>
      <c r="B16" s="41" t="s">
        <v>3</v>
      </c>
      <c r="C16" s="40" t="s">
        <v>18</v>
      </c>
      <c r="D16" s="36">
        <v>69.900000000000006</v>
      </c>
      <c r="E16" s="37">
        <f>Tabela5[[#This Row],[Preço Unitário]]*(1-$J$4)</f>
        <v>62.910000000000004</v>
      </c>
      <c r="F16" s="41">
        <v>15</v>
      </c>
      <c r="G16" s="42">
        <f>Tabela5[[#This Row],[Preço Unitário]]*Tabela5[[#This Row],[Qtd]]</f>
        <v>1048.5</v>
      </c>
      <c r="H16" s="37">
        <f>Tabela5[[#This Row],[	Preço c/ Desconto]]*Tabela5[[#This Row],[Qtd]]</f>
        <v>943.65000000000009</v>
      </c>
    </row>
    <row r="17" spans="1:8" ht="15.75" thickBot="1" x14ac:dyDescent="0.3">
      <c r="A17" s="40" t="s">
        <v>9</v>
      </c>
      <c r="B17" s="41" t="s">
        <v>4</v>
      </c>
      <c r="C17" s="40" t="s">
        <v>18</v>
      </c>
      <c r="D17" s="36">
        <v>70.900000000000006</v>
      </c>
      <c r="E17" s="37">
        <f>Tabela5[[#This Row],[Preço Unitário]]*(1-$J$4)</f>
        <v>63.810000000000009</v>
      </c>
      <c r="F17" s="41">
        <v>13</v>
      </c>
      <c r="G17" s="42">
        <f>Tabela5[[#This Row],[Preço Unitário]]*Tabela5[[#This Row],[Qtd]]</f>
        <v>921.7</v>
      </c>
      <c r="H17" s="37">
        <f>Tabela5[[#This Row],[	Preço c/ Desconto]]*Tabela5[[#This Row],[Qtd]]</f>
        <v>829.53000000000009</v>
      </c>
    </row>
    <row r="18" spans="1:8" ht="15.75" thickBot="1" x14ac:dyDescent="0.3">
      <c r="A18" s="40" t="s">
        <v>10</v>
      </c>
      <c r="B18" s="41">
        <v>36</v>
      </c>
      <c r="C18" s="40" t="s">
        <v>20</v>
      </c>
      <c r="D18" s="36">
        <v>199.9</v>
      </c>
      <c r="E18" s="37">
        <f>Tabela5[[#This Row],[Preço Unitário]]*(1-$J$4)</f>
        <v>179.91</v>
      </c>
      <c r="F18" s="41">
        <v>2</v>
      </c>
      <c r="G18" s="42">
        <f>Tabela5[[#This Row],[Preço Unitário]]*Tabela5[[#This Row],[Qtd]]</f>
        <v>399.8</v>
      </c>
      <c r="H18" s="37">
        <f>Tabela5[[#This Row],[	Preço c/ Desconto]]*Tabela5[[#This Row],[Qtd]]</f>
        <v>359.82</v>
      </c>
    </row>
    <row r="19" spans="1:8" ht="15.75" thickBot="1" x14ac:dyDescent="0.3">
      <c r="A19" s="40" t="s">
        <v>10</v>
      </c>
      <c r="B19" s="41">
        <v>37</v>
      </c>
      <c r="C19" s="40" t="s">
        <v>20</v>
      </c>
      <c r="D19" s="36">
        <v>249.9</v>
      </c>
      <c r="E19" s="37">
        <f>Tabela5[[#This Row],[Preço Unitário]]*(1-$J$4)</f>
        <v>224.91</v>
      </c>
      <c r="F19" s="41">
        <v>1</v>
      </c>
      <c r="G19" s="42">
        <f>Tabela5[[#This Row],[Preço Unitário]]*Tabela5[[#This Row],[Qtd]]</f>
        <v>249.9</v>
      </c>
      <c r="H19" s="37">
        <f>Tabela5[[#This Row],[	Preço c/ Desconto]]*Tabela5[[#This Row],[Qtd]]</f>
        <v>224.91</v>
      </c>
    </row>
    <row r="20" spans="1:8" ht="15.75" thickBot="1" x14ac:dyDescent="0.3">
      <c r="A20" s="40" t="s">
        <v>10</v>
      </c>
      <c r="B20" s="41">
        <v>38</v>
      </c>
      <c r="C20" s="40" t="s">
        <v>20</v>
      </c>
      <c r="D20" s="36">
        <v>259.89999999999998</v>
      </c>
      <c r="E20" s="37">
        <f>Tabela5[[#This Row],[Preço Unitário]]*(1-$J$4)</f>
        <v>233.91</v>
      </c>
      <c r="F20" s="41">
        <v>0</v>
      </c>
      <c r="G20" s="42">
        <f>Tabela5[[#This Row],[Preço Unitário]]*Tabela5[[#This Row],[Qtd]]</f>
        <v>0</v>
      </c>
      <c r="H20" s="37">
        <f>Tabela5[[#This Row],[	Preço c/ Desconto]]*Tabela5[[#This Row],[Qtd]]</f>
        <v>0</v>
      </c>
    </row>
    <row r="21" spans="1:8" ht="15.75" thickBot="1" x14ac:dyDescent="0.3">
      <c r="A21" s="40" t="s">
        <v>11</v>
      </c>
      <c r="B21" s="41" t="s">
        <v>14</v>
      </c>
      <c r="C21" s="40" t="s">
        <v>19</v>
      </c>
      <c r="D21" s="36">
        <v>259.89999999999998</v>
      </c>
      <c r="E21" s="37">
        <f>Tabela5[[#This Row],[Preço Unitário]]*(1-$J$4)</f>
        <v>233.91</v>
      </c>
      <c r="F21" s="41">
        <v>1</v>
      </c>
      <c r="G21" s="42">
        <f>Tabela5[[#This Row],[Preço Unitário]]*Tabela5[[#This Row],[Qtd]]</f>
        <v>259.89999999999998</v>
      </c>
      <c r="H21" s="37">
        <f>Tabela5[[#This Row],[	Preço c/ Desconto]]*Tabela5[[#This Row],[Qtd]]</f>
        <v>233.91</v>
      </c>
    </row>
    <row r="22" spans="1:8" ht="15.75" thickBot="1" x14ac:dyDescent="0.3">
      <c r="A22" s="38" t="s">
        <v>12</v>
      </c>
      <c r="B22" s="39" t="s">
        <v>14</v>
      </c>
      <c r="C22" s="38" t="s">
        <v>19</v>
      </c>
      <c r="D22" s="19">
        <v>39.9</v>
      </c>
      <c r="E22" s="26">
        <f>Tabela5[[#This Row],[Preço Unitário]]*(1-$J$4)</f>
        <v>35.909999999999997</v>
      </c>
      <c r="F22" s="39">
        <v>11</v>
      </c>
      <c r="G22" s="18">
        <f>Tabela5[[#This Row],[Preço Unitário]]*Tabela5[[#This Row],[Qtd]]</f>
        <v>438.9</v>
      </c>
      <c r="H22" s="26">
        <f>Tabela5[[#This Row],[	Preço c/ Desconto]]*Tabela5[[#This Row],[Qtd]]</f>
        <v>395.01</v>
      </c>
    </row>
    <row r="23" spans="1:8" ht="15.75" thickBot="1" x14ac:dyDescent="0.3">
      <c r="A23" s="40" t="s">
        <v>13</v>
      </c>
      <c r="B23" s="41" t="s">
        <v>14</v>
      </c>
      <c r="C23" s="40" t="s">
        <v>19</v>
      </c>
      <c r="D23" s="36">
        <v>49.9</v>
      </c>
      <c r="E23" s="37">
        <f>Tabela5[[#This Row],[Preço Unitário]]*(1-$J$4)</f>
        <v>44.91</v>
      </c>
      <c r="F23" s="41">
        <v>21</v>
      </c>
      <c r="G23" s="42">
        <f>Tabela5[[#This Row],[Preço Unitário]]*Tabela5[[#This Row],[Qtd]]</f>
        <v>1047.8999999999999</v>
      </c>
      <c r="H23" s="37">
        <f>Tabela5[[#This Row],[	Preço c/ Desconto]]*Tabela5[[#This Row],[Qtd]]</f>
        <v>943.1099999999999</v>
      </c>
    </row>
    <row r="24" spans="1:8" ht="15.75" thickBot="1" x14ac:dyDescent="0.3">
      <c r="A24" s="43"/>
      <c r="B24" s="44" t="s">
        <v>29</v>
      </c>
      <c r="C24" s="45"/>
      <c r="D24" s="36">
        <f>SUBTOTAL(109,Tabela5[Preço Unitário])</f>
        <v>2983.0000000000009</v>
      </c>
      <c r="E24" s="46">
        <f>SUBTOTAL(109,Tabela5[	Preço c/ Desconto])</f>
        <v>2684.6999999999994</v>
      </c>
      <c r="F24" s="41">
        <f>SUBTOTAL(109,Tabela5[Qtd])</f>
        <v>132</v>
      </c>
      <c r="G24" s="36">
        <f>SUBTOTAL(109,Tabela5[Valor Total])</f>
        <v>10227.799999999999</v>
      </c>
      <c r="H24" s="47">
        <f>SUM(Tabela5[Valor do Desconto])</f>
        <v>9205.0199999999986</v>
      </c>
    </row>
  </sheetData>
  <mergeCells count="1">
    <mergeCell ref="A1:H1"/>
  </mergeCells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A2396F9CB23841BC057A68ECC54289" ma:contentTypeVersion="4" ma:contentTypeDescription="Create a new document." ma:contentTypeScope="" ma:versionID="e4f37545a0ad762faab94ff0fd2672f6">
  <xsd:schema xmlns:xsd="http://www.w3.org/2001/XMLSchema" xmlns:xs="http://www.w3.org/2001/XMLSchema" xmlns:p="http://schemas.microsoft.com/office/2006/metadata/properties" xmlns:ns3="9ab3d13d-971f-4bbd-8c42-1a75c7594316" targetNamespace="http://schemas.microsoft.com/office/2006/metadata/properties" ma:root="true" ma:fieldsID="9bf9676331f2c72992a64ec61a75c0c3" ns3:_="">
    <xsd:import namespace="9ab3d13d-971f-4bbd-8c42-1a75c7594316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b3d13d-971f-4bbd-8c42-1a75c7594316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EDC238B-8C71-452B-9A03-B3CC61CE86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ab3d13d-971f-4bbd-8c42-1a75c75943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612953-5555-4375-A3A1-FE3BA3640BC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B587173-C10C-4EDB-BB69-4E7F4AD613BC}">
  <ds:schemaRefs>
    <ds:schemaRef ds:uri="http://schemas.openxmlformats.org/package/2006/metadata/core-properties"/>
    <ds:schemaRef ds:uri="http://schemas.microsoft.com/office/infopath/2007/PartnerControls"/>
    <ds:schemaRef ds:uri="9ab3d13d-971f-4bbd-8c42-1a75c7594316"/>
    <ds:schemaRef ds:uri="http://www.w3.org/XML/1998/namespace"/>
    <ds:schemaRef ds:uri="http://schemas.microsoft.com/office/2006/documentManagement/types"/>
    <ds:schemaRef ds:uri="http://purl.org/dc/elements/1.1/"/>
    <ds:schemaRef ds:uri="http://purl.org/dc/terms/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3</vt:i4>
      </vt:variant>
      <vt:variant>
        <vt:lpstr>Gráficos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6" baseType="lpstr">
      <vt:lpstr>Produtos</vt:lpstr>
      <vt:lpstr>Planilha2</vt:lpstr>
      <vt:lpstr>Tabela de Produtos</vt:lpstr>
      <vt:lpstr>Meu Grafico</vt:lpstr>
      <vt:lpstr>Produtos!Area_de_impressao</vt:lpstr>
      <vt:lpstr>Int_Nome_Produto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Resolve Testes</dc:creator>
  <cp:lastModifiedBy>JOAO PEDRO SIMOES DE ALMEIDA</cp:lastModifiedBy>
  <cp:lastPrinted>2023-06-07T14:57:58Z</cp:lastPrinted>
  <dcterms:created xsi:type="dcterms:W3CDTF">2023-06-02T17:54:12Z</dcterms:created>
  <dcterms:modified xsi:type="dcterms:W3CDTF">2026-03-09T16:52:44Z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2026-03-08T18:46:17Z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38ae2f02-5710-4e12-80bb-83600c3fdf1e</vt:lpwstr>
  </property>
  <property fmtid="{D5CDD505-2E9C-101B-9397-08002B2CF9AE}" pid="7" name="MSIP_Label_defa4170-0d19-0005-0004-bc88714345d2_ActionId">
    <vt:lpwstr>bb34af42-880d-479e-8bf0-7ede743b72f0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0x010100A2A2396F9CB23841BC057A68ECC54289</vt:lpwstr>
  </property>
</Properties>
</file>